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esktop\Data Analyst\Power BI\"/>
    </mc:Choice>
  </mc:AlternateContent>
  <xr:revisionPtr revIDLastSave="0" documentId="13_ncr:1_{53FBDD9C-D6CC-41FE-8E51-647183507089}" xr6:coauthVersionLast="47" xr6:coauthVersionMax="47" xr10:uidLastSave="{00000000-0000-0000-0000-000000000000}"/>
  <bookViews>
    <workbookView xWindow="-108" yWindow="-108" windowWidth="23256" windowHeight="13176" activeTab="1" xr2:uid="{41A734D2-72BA-4562-B34B-238B193B17BA}"/>
  </bookViews>
  <sheets>
    <sheet name="Purchase Tracker" sheetId="1" r:id="rId1"/>
    <sheet name="Pivot Table" sheetId="2" r:id="rId2"/>
    <sheet name="Purchase Overview" sheetId="3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3" l="1"/>
  <c r="E35" i="3"/>
  <c r="F35" i="3"/>
  <c r="G35" i="3"/>
  <c r="C35" i="3"/>
  <c r="D34" i="3"/>
  <c r="E34" i="3"/>
  <c r="F34" i="3"/>
  <c r="G34" i="3"/>
  <c r="C34" i="3"/>
  <c r="G26" i="3"/>
  <c r="G27" i="3"/>
  <c r="G28" i="3"/>
  <c r="G29" i="3"/>
  <c r="G30" i="3"/>
  <c r="G31" i="3"/>
  <c r="G32" i="3"/>
  <c r="G33" i="3"/>
  <c r="G25" i="3"/>
  <c r="D24" i="3"/>
  <c r="E24" i="3"/>
  <c r="F24" i="3"/>
  <c r="G24" i="3"/>
  <c r="C24" i="3"/>
  <c r="G16" i="3"/>
  <c r="G17" i="3"/>
  <c r="G18" i="3"/>
  <c r="G19" i="3"/>
  <c r="G20" i="3"/>
  <c r="G21" i="3"/>
  <c r="G22" i="3"/>
  <c r="G23" i="3"/>
  <c r="G15" i="3"/>
  <c r="D14" i="3"/>
  <c r="E14" i="3"/>
  <c r="F14" i="3"/>
  <c r="G14" i="3"/>
  <c r="C14" i="3"/>
  <c r="G6" i="3"/>
  <c r="G7" i="3"/>
  <c r="G8" i="3"/>
  <c r="G9" i="3"/>
  <c r="G10" i="3"/>
  <c r="G11" i="3"/>
  <c r="G12" i="3"/>
  <c r="G13" i="3"/>
  <c r="G5" i="3"/>
</calcChain>
</file>

<file path=xl/sharedStrings.xml><?xml version="1.0" encoding="utf-8"?>
<sst xmlns="http://schemas.openxmlformats.org/spreadsheetml/2006/main" count="273" uniqueCount="30">
  <si>
    <t>Store</t>
  </si>
  <si>
    <t>Product</t>
  </si>
  <si>
    <t>Price</t>
  </si>
  <si>
    <t>Date</t>
  </si>
  <si>
    <t>Walmart</t>
  </si>
  <si>
    <t>Costco</t>
  </si>
  <si>
    <t>Target</t>
  </si>
  <si>
    <t xml:space="preserve">Bottled Water </t>
  </si>
  <si>
    <t>Milk</t>
  </si>
  <si>
    <t>Rice</t>
  </si>
  <si>
    <t>Dried Beans</t>
  </si>
  <si>
    <t>Canned Vegetables</t>
  </si>
  <si>
    <t>Rope</t>
  </si>
  <si>
    <t>Flashlight</t>
  </si>
  <si>
    <t>Duct Tape</t>
  </si>
  <si>
    <t>Water Filter</t>
  </si>
  <si>
    <t>Row Labels</t>
  </si>
  <si>
    <t>Grand Total</t>
  </si>
  <si>
    <t>Sum of Price</t>
  </si>
  <si>
    <t>Column Labels</t>
  </si>
  <si>
    <t>Jan</t>
  </si>
  <si>
    <t>Feb</t>
  </si>
  <si>
    <t>Mar</t>
  </si>
  <si>
    <t>Apr</t>
  </si>
  <si>
    <t>Apocolypse Food Prep Overview</t>
  </si>
  <si>
    <t>Location</t>
  </si>
  <si>
    <t>Products</t>
  </si>
  <si>
    <t>Costco Total</t>
  </si>
  <si>
    <t>Target Total</t>
  </si>
  <si>
    <t>Walmart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</si>
</sst>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9" fontId="1" fillId="0" borderId="0" xfId="0" applyNumberFormat="1" applyFont="1"/>
    <xf numFmtId="169" fontId="0" fillId="0" borderId="0" xfId="0" applyNumberFormat="1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" fontId="0" fillId="0" borderId="0" xfId="0" applyNumberFormat="1"/>
    <xf numFmtId="0" fontId="0" fillId="3" borderId="0" xfId="0" applyFill="1"/>
    <xf numFmtId="169" fontId="0" fillId="3" borderId="0" xfId="0" applyNumberFormat="1" applyFill="1"/>
    <xf numFmtId="0" fontId="1" fillId="2" borderId="0" xfId="0" applyFont="1" applyFill="1"/>
    <xf numFmtId="169" fontId="1" fillId="2" borderId="0" xfId="0" applyNumberFormat="1" applyFont="1" applyFill="1"/>
    <xf numFmtId="169" fontId="1" fillId="4" borderId="0" xfId="0" applyNumberFormat="1" applyFont="1" applyFill="1"/>
    <xf numFmtId="0" fontId="1" fillId="5" borderId="0" xfId="0" applyFont="1" applyFill="1"/>
    <xf numFmtId="169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KAR YELSANGE" refreshedDate="46202.939290277776" createdVersion="8" refreshedVersion="8" minRefreshableVersion="3" recordCount="84" xr:uid="{0626256E-5445-4B75-BD2B-83B526C4BBA2}">
  <cacheSource type="worksheet">
    <worksheetSource ref="A1:D85" sheet="Purchase Tracker"/>
  </cacheSource>
  <cacheFields count="6">
    <cacheField name="Store" numFmtId="0">
      <sharedItems count="3">
        <s v="Walmart"/>
        <s v="Costco"/>
        <s v="Target"/>
      </sharedItems>
    </cacheField>
    <cacheField name="Product" numFmtId="0">
      <sharedItems count="9">
        <s v="Rice"/>
        <s v="Dried Beans"/>
        <s v="Bottled Water "/>
        <s v="Canned Vegetables"/>
        <s v="Milk"/>
        <s v="Rope"/>
        <s v="Flashlight"/>
        <s v="Duct Tape"/>
        <s v="Water Filter"/>
      </sharedItems>
    </cacheField>
    <cacheField name="Price" numFmtId="169">
      <sharedItems containsSemiMixedTypes="0" containsString="0" containsNumber="1" minValue="0.65" maxValue="39"/>
    </cacheField>
    <cacheField name="Date" numFmtId="14">
      <sharedItems containsSemiMixedTypes="0" containsNonDate="0" containsDate="1" containsString="0" minDate="2022-01-01T00:00:00" maxDate="2022-04-02T00:00:00" count="5">
        <d v="2022-01-01T00:00:00"/>
        <d v="2022-02-01T00:00:00"/>
        <d v="2022-03-01T00:00:00"/>
        <d v="2022-04-01T00:00:00"/>
        <d v="2022-01-03T00:00:00"/>
      </sharedItems>
      <fieldGroup par="5"/>
    </cacheField>
    <cacheField name="Days (Date)" numFmtId="0" databaseField="0">
      <fieldGroup base="3">
        <rangePr groupBy="days" startDate="2022-01-01T00:00:00" endDate="2022-04-02T00:00:00"/>
        <groupItems count="368">
          <s v="&lt;01-01-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4-2022"/>
        </groupItems>
      </fieldGroup>
    </cacheField>
    <cacheField name="Months (Date)" numFmtId="0" databaseField="0">
      <fieldGroup base="3">
        <rangePr groupBy="months" startDate="2022-01-01T00:00:00" endDate="2022-04-02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4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x v="0"/>
    <x v="0"/>
    <n v="25"/>
    <x v="0"/>
  </r>
  <r>
    <x v="1"/>
    <x v="0"/>
    <n v="23"/>
    <x v="0"/>
  </r>
  <r>
    <x v="2"/>
    <x v="0"/>
    <n v="22.99"/>
    <x v="0"/>
  </r>
  <r>
    <x v="0"/>
    <x v="0"/>
    <n v="25.75"/>
    <x v="1"/>
  </r>
  <r>
    <x v="1"/>
    <x v="0"/>
    <n v="23.99"/>
    <x v="1"/>
  </r>
  <r>
    <x v="2"/>
    <x v="0"/>
    <n v="23.25"/>
    <x v="1"/>
  </r>
  <r>
    <x v="0"/>
    <x v="0"/>
    <n v="26.99"/>
    <x v="2"/>
  </r>
  <r>
    <x v="1"/>
    <x v="0"/>
    <n v="24.99"/>
    <x v="2"/>
  </r>
  <r>
    <x v="2"/>
    <x v="0"/>
    <n v="24.25"/>
    <x v="2"/>
  </r>
  <r>
    <x v="0"/>
    <x v="0"/>
    <n v="26.99"/>
    <x v="3"/>
  </r>
  <r>
    <x v="1"/>
    <x v="0"/>
    <n v="25.25"/>
    <x v="3"/>
  </r>
  <r>
    <x v="2"/>
    <x v="0"/>
    <n v="24.75"/>
    <x v="3"/>
  </r>
  <r>
    <x v="0"/>
    <x v="1"/>
    <n v="22.99"/>
    <x v="0"/>
  </r>
  <r>
    <x v="1"/>
    <x v="1"/>
    <n v="20.99"/>
    <x v="0"/>
  </r>
  <r>
    <x v="2"/>
    <x v="1"/>
    <n v="23.99"/>
    <x v="0"/>
  </r>
  <r>
    <x v="0"/>
    <x v="1"/>
    <n v="23.99"/>
    <x v="1"/>
  </r>
  <r>
    <x v="1"/>
    <x v="1"/>
    <n v="22.99"/>
    <x v="1"/>
  </r>
  <r>
    <x v="2"/>
    <x v="1"/>
    <n v="24.99"/>
    <x v="1"/>
  </r>
  <r>
    <x v="0"/>
    <x v="1"/>
    <n v="24.25"/>
    <x v="2"/>
  </r>
  <r>
    <x v="1"/>
    <x v="1"/>
    <n v="22.99"/>
    <x v="2"/>
  </r>
  <r>
    <x v="2"/>
    <x v="1"/>
    <n v="25.45"/>
    <x v="2"/>
  </r>
  <r>
    <x v="0"/>
    <x v="1"/>
    <n v="24.49"/>
    <x v="3"/>
  </r>
  <r>
    <x v="1"/>
    <x v="1"/>
    <n v="23.99"/>
    <x v="3"/>
  </r>
  <r>
    <x v="2"/>
    <x v="1"/>
    <n v="25.79"/>
    <x v="3"/>
  </r>
  <r>
    <x v="0"/>
    <x v="2"/>
    <n v="5"/>
    <x v="0"/>
  </r>
  <r>
    <x v="1"/>
    <x v="2"/>
    <n v="4.25"/>
    <x v="0"/>
  </r>
  <r>
    <x v="2"/>
    <x v="2"/>
    <n v="4.99"/>
    <x v="0"/>
  </r>
  <r>
    <x v="0"/>
    <x v="2"/>
    <n v="5.25"/>
    <x v="1"/>
  </r>
  <r>
    <x v="1"/>
    <x v="2"/>
    <n v="4.49"/>
    <x v="1"/>
  </r>
  <r>
    <x v="2"/>
    <x v="2"/>
    <n v="5.15"/>
    <x v="1"/>
  </r>
  <r>
    <x v="0"/>
    <x v="2"/>
    <n v="5.45"/>
    <x v="2"/>
  </r>
  <r>
    <x v="1"/>
    <x v="2"/>
    <n v="4.8"/>
    <x v="2"/>
  </r>
  <r>
    <x v="2"/>
    <x v="2"/>
    <n v="5.25"/>
    <x v="2"/>
  </r>
  <r>
    <x v="0"/>
    <x v="2"/>
    <n v="5.75"/>
    <x v="3"/>
  </r>
  <r>
    <x v="1"/>
    <x v="2"/>
    <n v="4.8899999999999997"/>
    <x v="3"/>
  </r>
  <r>
    <x v="2"/>
    <x v="2"/>
    <n v="5.35"/>
    <x v="3"/>
  </r>
  <r>
    <x v="0"/>
    <x v="3"/>
    <n v="0.65"/>
    <x v="0"/>
  </r>
  <r>
    <x v="1"/>
    <x v="3"/>
    <n v="0.85"/>
    <x v="0"/>
  </r>
  <r>
    <x v="2"/>
    <x v="3"/>
    <n v="0.65"/>
    <x v="0"/>
  </r>
  <r>
    <x v="0"/>
    <x v="3"/>
    <n v="0.75"/>
    <x v="1"/>
  </r>
  <r>
    <x v="1"/>
    <x v="3"/>
    <n v="0.85"/>
    <x v="1"/>
  </r>
  <r>
    <x v="2"/>
    <x v="3"/>
    <n v="0.69"/>
    <x v="1"/>
  </r>
  <r>
    <x v="0"/>
    <x v="3"/>
    <n v="0.85"/>
    <x v="2"/>
  </r>
  <r>
    <x v="1"/>
    <x v="3"/>
    <n v="0.85"/>
    <x v="2"/>
  </r>
  <r>
    <x v="2"/>
    <x v="3"/>
    <n v="0.74"/>
    <x v="2"/>
  </r>
  <r>
    <x v="0"/>
    <x v="3"/>
    <n v="1"/>
    <x v="3"/>
  </r>
  <r>
    <x v="1"/>
    <x v="3"/>
    <n v="0.85"/>
    <x v="3"/>
  </r>
  <r>
    <x v="2"/>
    <x v="3"/>
    <n v="0.79"/>
    <x v="3"/>
  </r>
  <r>
    <x v="0"/>
    <x v="4"/>
    <n v="2"/>
    <x v="0"/>
  </r>
  <r>
    <x v="1"/>
    <x v="4"/>
    <n v="2.2999999999999998"/>
    <x v="0"/>
  </r>
  <r>
    <x v="2"/>
    <x v="4"/>
    <n v="2.2000000000000002"/>
    <x v="0"/>
  </r>
  <r>
    <x v="0"/>
    <x v="4"/>
    <n v="2.1"/>
    <x v="1"/>
  </r>
  <r>
    <x v="1"/>
    <x v="4"/>
    <n v="2.4"/>
    <x v="1"/>
  </r>
  <r>
    <x v="2"/>
    <x v="4"/>
    <n v="2.4500000000000002"/>
    <x v="1"/>
  </r>
  <r>
    <x v="0"/>
    <x v="4"/>
    <n v="2.4"/>
    <x v="2"/>
  </r>
  <r>
    <x v="1"/>
    <x v="4"/>
    <n v="2.5"/>
    <x v="2"/>
  </r>
  <r>
    <x v="2"/>
    <x v="4"/>
    <n v="2.7"/>
    <x v="2"/>
  </r>
  <r>
    <x v="0"/>
    <x v="4"/>
    <n v="2.9"/>
    <x v="3"/>
  </r>
  <r>
    <x v="1"/>
    <x v="4"/>
    <n v="2.7"/>
    <x v="3"/>
  </r>
  <r>
    <x v="2"/>
    <x v="4"/>
    <n v="3"/>
    <x v="3"/>
  </r>
  <r>
    <x v="0"/>
    <x v="5"/>
    <n v="14"/>
    <x v="0"/>
  </r>
  <r>
    <x v="1"/>
    <x v="5"/>
    <n v="13.5"/>
    <x v="0"/>
  </r>
  <r>
    <x v="2"/>
    <x v="5"/>
    <n v="15"/>
    <x v="0"/>
  </r>
  <r>
    <x v="0"/>
    <x v="5"/>
    <n v="14.5"/>
    <x v="4"/>
  </r>
  <r>
    <x v="1"/>
    <x v="5"/>
    <n v="14"/>
    <x v="4"/>
  </r>
  <r>
    <x v="2"/>
    <x v="5"/>
    <n v="15.25"/>
    <x v="4"/>
  </r>
  <r>
    <x v="0"/>
    <x v="6"/>
    <n v="10"/>
    <x v="0"/>
  </r>
  <r>
    <x v="1"/>
    <x v="6"/>
    <n v="13"/>
    <x v="0"/>
  </r>
  <r>
    <x v="2"/>
    <x v="6"/>
    <n v="12.5"/>
    <x v="0"/>
  </r>
  <r>
    <x v="0"/>
    <x v="6"/>
    <n v="11"/>
    <x v="4"/>
  </r>
  <r>
    <x v="1"/>
    <x v="6"/>
    <n v="13"/>
    <x v="4"/>
  </r>
  <r>
    <x v="2"/>
    <x v="6"/>
    <n v="12.75"/>
    <x v="4"/>
  </r>
  <r>
    <x v="0"/>
    <x v="7"/>
    <n v="5"/>
    <x v="0"/>
  </r>
  <r>
    <x v="1"/>
    <x v="7"/>
    <n v="5"/>
    <x v="0"/>
  </r>
  <r>
    <x v="2"/>
    <x v="7"/>
    <n v="6"/>
    <x v="0"/>
  </r>
  <r>
    <x v="0"/>
    <x v="7"/>
    <n v="5.5"/>
    <x v="4"/>
  </r>
  <r>
    <x v="1"/>
    <x v="7"/>
    <n v="5.25"/>
    <x v="4"/>
  </r>
  <r>
    <x v="2"/>
    <x v="7"/>
    <n v="6.25"/>
    <x v="4"/>
  </r>
  <r>
    <x v="0"/>
    <x v="8"/>
    <n v="39"/>
    <x v="0"/>
  </r>
  <r>
    <x v="1"/>
    <x v="8"/>
    <n v="29"/>
    <x v="0"/>
  </r>
  <r>
    <x v="2"/>
    <x v="8"/>
    <n v="38"/>
    <x v="0"/>
  </r>
  <r>
    <x v="0"/>
    <x v="8"/>
    <n v="39"/>
    <x v="4"/>
  </r>
  <r>
    <x v="1"/>
    <x v="8"/>
    <n v="31"/>
    <x v="4"/>
  </r>
  <r>
    <x v="2"/>
    <x v="8"/>
    <n v="3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D2089-A7C7-4EF7-80C3-EFC593A2C648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5" firstHeaderRow="1" firstDataRow="2" firstDataCol="1"/>
  <pivotFields count="6">
    <pivotField axis="axisRow" showAll="0">
      <items count="4">
        <item x="1"/>
        <item x="2"/>
        <item x="0"/>
        <item t="default"/>
      </items>
    </pivotField>
    <pivotField axis="axisRow" showAll="0">
      <items count="10">
        <item x="2"/>
        <item x="3"/>
        <item x="1"/>
        <item x="7"/>
        <item x="6"/>
        <item x="4"/>
        <item x="0"/>
        <item x="5"/>
        <item x="8"/>
        <item t="default"/>
      </items>
    </pivotField>
    <pivotField dataField="1" numFmtId="169" showAll="0"/>
    <pivotField numFmtId="14" showAll="0">
      <items count="6">
        <item x="0"/>
        <item x="4"/>
        <item x="1"/>
        <item x="2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3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5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Price" fld="2" baseField="0" baseItem="0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2D15-4E0D-42D8-A877-22E48FDC669F}">
  <dimension ref="A1:D85"/>
  <sheetViews>
    <sheetView topLeftCell="A8" workbookViewId="0">
      <selection activeCell="C12" sqref="C12"/>
    </sheetView>
  </sheetViews>
  <sheetFormatPr defaultColWidth="15.88671875" defaultRowHeight="14.4" x14ac:dyDescent="0.3"/>
  <cols>
    <col min="3" max="3" width="15.88671875" style="8"/>
    <col min="4" max="4" width="15.88671875" style="1"/>
  </cols>
  <sheetData>
    <row r="1" spans="1:4" x14ac:dyDescent="0.3">
      <c r="A1" s="2" t="s">
        <v>0</v>
      </c>
      <c r="B1" s="2" t="s">
        <v>1</v>
      </c>
      <c r="C1" s="7" t="s">
        <v>2</v>
      </c>
      <c r="D1" s="3" t="s">
        <v>3</v>
      </c>
    </row>
    <row r="2" spans="1:4" x14ac:dyDescent="0.3">
      <c r="A2" t="s">
        <v>4</v>
      </c>
      <c r="B2" t="s">
        <v>9</v>
      </c>
      <c r="C2" s="8">
        <v>25</v>
      </c>
      <c r="D2" s="1">
        <v>44562</v>
      </c>
    </row>
    <row r="3" spans="1:4" x14ac:dyDescent="0.3">
      <c r="A3" t="s">
        <v>5</v>
      </c>
      <c r="B3" t="s">
        <v>9</v>
      </c>
      <c r="C3" s="8">
        <v>23</v>
      </c>
      <c r="D3" s="1">
        <v>44562</v>
      </c>
    </row>
    <row r="4" spans="1:4" x14ac:dyDescent="0.3">
      <c r="A4" t="s">
        <v>6</v>
      </c>
      <c r="B4" t="s">
        <v>9</v>
      </c>
      <c r="C4" s="8">
        <v>22.99</v>
      </c>
      <c r="D4" s="1">
        <v>44562</v>
      </c>
    </row>
    <row r="5" spans="1:4" x14ac:dyDescent="0.3">
      <c r="A5" t="s">
        <v>4</v>
      </c>
      <c r="B5" t="s">
        <v>9</v>
      </c>
      <c r="C5" s="8">
        <v>25.75</v>
      </c>
      <c r="D5" s="1">
        <v>44593</v>
      </c>
    </row>
    <row r="6" spans="1:4" x14ac:dyDescent="0.3">
      <c r="A6" t="s">
        <v>5</v>
      </c>
      <c r="B6" t="s">
        <v>9</v>
      </c>
      <c r="C6" s="8">
        <v>23.99</v>
      </c>
      <c r="D6" s="1">
        <v>44593</v>
      </c>
    </row>
    <row r="7" spans="1:4" x14ac:dyDescent="0.3">
      <c r="A7" t="s">
        <v>6</v>
      </c>
      <c r="B7" t="s">
        <v>9</v>
      </c>
      <c r="C7" s="8">
        <v>23.25</v>
      </c>
      <c r="D7" s="1">
        <v>44593</v>
      </c>
    </row>
    <row r="8" spans="1:4" x14ac:dyDescent="0.3">
      <c r="A8" t="s">
        <v>4</v>
      </c>
      <c r="B8" t="s">
        <v>9</v>
      </c>
      <c r="C8" s="8">
        <v>26.99</v>
      </c>
      <c r="D8" s="1">
        <v>44621</v>
      </c>
    </row>
    <row r="9" spans="1:4" x14ac:dyDescent="0.3">
      <c r="A9" t="s">
        <v>5</v>
      </c>
      <c r="B9" t="s">
        <v>9</v>
      </c>
      <c r="C9" s="8">
        <v>24.99</v>
      </c>
      <c r="D9" s="1">
        <v>44621</v>
      </c>
    </row>
    <row r="10" spans="1:4" x14ac:dyDescent="0.3">
      <c r="A10" t="s">
        <v>6</v>
      </c>
      <c r="B10" t="s">
        <v>9</v>
      </c>
      <c r="C10" s="8">
        <v>24.25</v>
      </c>
      <c r="D10" s="1">
        <v>44621</v>
      </c>
    </row>
    <row r="11" spans="1:4" x14ac:dyDescent="0.3">
      <c r="A11" t="s">
        <v>4</v>
      </c>
      <c r="B11" t="s">
        <v>9</v>
      </c>
      <c r="C11" s="8">
        <v>26.99</v>
      </c>
      <c r="D11" s="1">
        <v>44652</v>
      </c>
    </row>
    <row r="12" spans="1:4" x14ac:dyDescent="0.3">
      <c r="A12" t="s">
        <v>5</v>
      </c>
      <c r="B12" t="s">
        <v>9</v>
      </c>
      <c r="C12" s="8">
        <v>25.25</v>
      </c>
      <c r="D12" s="1">
        <v>44652</v>
      </c>
    </row>
    <row r="13" spans="1:4" x14ac:dyDescent="0.3">
      <c r="A13" t="s">
        <v>6</v>
      </c>
      <c r="B13" t="s">
        <v>9</v>
      </c>
      <c r="C13" s="8">
        <v>24.75</v>
      </c>
      <c r="D13" s="1">
        <v>44652</v>
      </c>
    </row>
    <row r="14" spans="1:4" x14ac:dyDescent="0.3">
      <c r="A14" t="s">
        <v>4</v>
      </c>
      <c r="B14" t="s">
        <v>10</v>
      </c>
      <c r="C14" s="8">
        <v>22.99</v>
      </c>
      <c r="D14" s="1">
        <v>44562</v>
      </c>
    </row>
    <row r="15" spans="1:4" x14ac:dyDescent="0.3">
      <c r="A15" t="s">
        <v>5</v>
      </c>
      <c r="B15" t="s">
        <v>10</v>
      </c>
      <c r="C15" s="8">
        <v>20.99</v>
      </c>
      <c r="D15" s="1">
        <v>44562</v>
      </c>
    </row>
    <row r="16" spans="1:4" x14ac:dyDescent="0.3">
      <c r="A16" t="s">
        <v>6</v>
      </c>
      <c r="B16" t="s">
        <v>10</v>
      </c>
      <c r="C16" s="8">
        <v>23.99</v>
      </c>
      <c r="D16" s="1">
        <v>44562</v>
      </c>
    </row>
    <row r="17" spans="1:4" x14ac:dyDescent="0.3">
      <c r="A17" t="s">
        <v>4</v>
      </c>
      <c r="B17" t="s">
        <v>10</v>
      </c>
      <c r="C17" s="8">
        <v>23.99</v>
      </c>
      <c r="D17" s="1">
        <v>44593</v>
      </c>
    </row>
    <row r="18" spans="1:4" x14ac:dyDescent="0.3">
      <c r="A18" t="s">
        <v>5</v>
      </c>
      <c r="B18" t="s">
        <v>10</v>
      </c>
      <c r="C18" s="8">
        <v>22.99</v>
      </c>
      <c r="D18" s="1">
        <v>44593</v>
      </c>
    </row>
    <row r="19" spans="1:4" x14ac:dyDescent="0.3">
      <c r="A19" t="s">
        <v>6</v>
      </c>
      <c r="B19" t="s">
        <v>10</v>
      </c>
      <c r="C19" s="8">
        <v>24.99</v>
      </c>
      <c r="D19" s="1">
        <v>44593</v>
      </c>
    </row>
    <row r="20" spans="1:4" x14ac:dyDescent="0.3">
      <c r="A20" t="s">
        <v>4</v>
      </c>
      <c r="B20" t="s">
        <v>10</v>
      </c>
      <c r="C20" s="8">
        <v>24.25</v>
      </c>
      <c r="D20" s="1">
        <v>44621</v>
      </c>
    </row>
    <row r="21" spans="1:4" x14ac:dyDescent="0.3">
      <c r="A21" t="s">
        <v>5</v>
      </c>
      <c r="B21" t="s">
        <v>10</v>
      </c>
      <c r="C21" s="8">
        <v>22.99</v>
      </c>
      <c r="D21" s="1">
        <v>44621</v>
      </c>
    </row>
    <row r="22" spans="1:4" x14ac:dyDescent="0.3">
      <c r="A22" t="s">
        <v>6</v>
      </c>
      <c r="B22" t="s">
        <v>10</v>
      </c>
      <c r="C22" s="8">
        <v>25.45</v>
      </c>
      <c r="D22" s="1">
        <v>44621</v>
      </c>
    </row>
    <row r="23" spans="1:4" x14ac:dyDescent="0.3">
      <c r="A23" t="s">
        <v>4</v>
      </c>
      <c r="B23" t="s">
        <v>10</v>
      </c>
      <c r="C23" s="8">
        <v>24.49</v>
      </c>
      <c r="D23" s="1">
        <v>44652</v>
      </c>
    </row>
    <row r="24" spans="1:4" x14ac:dyDescent="0.3">
      <c r="A24" t="s">
        <v>5</v>
      </c>
      <c r="B24" t="s">
        <v>10</v>
      </c>
      <c r="C24" s="8">
        <v>23.99</v>
      </c>
      <c r="D24" s="1">
        <v>44652</v>
      </c>
    </row>
    <row r="25" spans="1:4" x14ac:dyDescent="0.3">
      <c r="A25" t="s">
        <v>6</v>
      </c>
      <c r="B25" t="s">
        <v>10</v>
      </c>
      <c r="C25" s="8">
        <v>25.79</v>
      </c>
      <c r="D25" s="1">
        <v>44652</v>
      </c>
    </row>
    <row r="26" spans="1:4" x14ac:dyDescent="0.3">
      <c r="A26" t="s">
        <v>4</v>
      </c>
      <c r="B26" t="s">
        <v>7</v>
      </c>
      <c r="C26" s="8">
        <v>5</v>
      </c>
      <c r="D26" s="1">
        <v>44562</v>
      </c>
    </row>
    <row r="27" spans="1:4" x14ac:dyDescent="0.3">
      <c r="A27" t="s">
        <v>5</v>
      </c>
      <c r="B27" t="s">
        <v>7</v>
      </c>
      <c r="C27" s="8">
        <v>4.25</v>
      </c>
      <c r="D27" s="1">
        <v>44562</v>
      </c>
    </row>
    <row r="28" spans="1:4" x14ac:dyDescent="0.3">
      <c r="A28" t="s">
        <v>6</v>
      </c>
      <c r="B28" t="s">
        <v>7</v>
      </c>
      <c r="C28" s="8">
        <v>4.99</v>
      </c>
      <c r="D28" s="1">
        <v>44562</v>
      </c>
    </row>
    <row r="29" spans="1:4" x14ac:dyDescent="0.3">
      <c r="A29" t="s">
        <v>4</v>
      </c>
      <c r="B29" t="s">
        <v>7</v>
      </c>
      <c r="C29" s="8">
        <v>5.25</v>
      </c>
      <c r="D29" s="1">
        <v>44593</v>
      </c>
    </row>
    <row r="30" spans="1:4" x14ac:dyDescent="0.3">
      <c r="A30" t="s">
        <v>5</v>
      </c>
      <c r="B30" t="s">
        <v>7</v>
      </c>
      <c r="C30" s="8">
        <v>4.49</v>
      </c>
      <c r="D30" s="1">
        <v>44593</v>
      </c>
    </row>
    <row r="31" spans="1:4" x14ac:dyDescent="0.3">
      <c r="A31" t="s">
        <v>6</v>
      </c>
      <c r="B31" t="s">
        <v>7</v>
      </c>
      <c r="C31" s="8">
        <v>5.15</v>
      </c>
      <c r="D31" s="1">
        <v>44593</v>
      </c>
    </row>
    <row r="32" spans="1:4" x14ac:dyDescent="0.3">
      <c r="A32" t="s">
        <v>4</v>
      </c>
      <c r="B32" t="s">
        <v>7</v>
      </c>
      <c r="C32" s="8">
        <v>5.45</v>
      </c>
      <c r="D32" s="1">
        <v>44621</v>
      </c>
    </row>
    <row r="33" spans="1:4" x14ac:dyDescent="0.3">
      <c r="A33" t="s">
        <v>5</v>
      </c>
      <c r="B33" t="s">
        <v>7</v>
      </c>
      <c r="C33" s="8">
        <v>4.8</v>
      </c>
      <c r="D33" s="1">
        <v>44621</v>
      </c>
    </row>
    <row r="34" spans="1:4" x14ac:dyDescent="0.3">
      <c r="A34" t="s">
        <v>6</v>
      </c>
      <c r="B34" t="s">
        <v>7</v>
      </c>
      <c r="C34" s="8">
        <v>5.25</v>
      </c>
      <c r="D34" s="1">
        <v>44621</v>
      </c>
    </row>
    <row r="35" spans="1:4" x14ac:dyDescent="0.3">
      <c r="A35" t="s">
        <v>4</v>
      </c>
      <c r="B35" t="s">
        <v>7</v>
      </c>
      <c r="C35" s="8">
        <v>5.75</v>
      </c>
      <c r="D35" s="1">
        <v>44652</v>
      </c>
    </row>
    <row r="36" spans="1:4" x14ac:dyDescent="0.3">
      <c r="A36" t="s">
        <v>5</v>
      </c>
      <c r="B36" t="s">
        <v>7</v>
      </c>
      <c r="C36" s="8">
        <v>4.8899999999999997</v>
      </c>
      <c r="D36" s="1">
        <v>44652</v>
      </c>
    </row>
    <row r="37" spans="1:4" x14ac:dyDescent="0.3">
      <c r="A37" t="s">
        <v>6</v>
      </c>
      <c r="B37" t="s">
        <v>7</v>
      </c>
      <c r="C37" s="8">
        <v>5.35</v>
      </c>
      <c r="D37" s="1">
        <v>44652</v>
      </c>
    </row>
    <row r="38" spans="1:4" x14ac:dyDescent="0.3">
      <c r="A38" t="s">
        <v>4</v>
      </c>
      <c r="B38" t="s">
        <v>11</v>
      </c>
      <c r="C38" s="8">
        <v>0.65</v>
      </c>
      <c r="D38" s="1">
        <v>44562</v>
      </c>
    </row>
    <row r="39" spans="1:4" x14ac:dyDescent="0.3">
      <c r="A39" t="s">
        <v>5</v>
      </c>
      <c r="B39" t="s">
        <v>11</v>
      </c>
      <c r="C39" s="8">
        <v>0.85</v>
      </c>
      <c r="D39" s="1">
        <v>44562</v>
      </c>
    </row>
    <row r="40" spans="1:4" x14ac:dyDescent="0.3">
      <c r="A40" t="s">
        <v>6</v>
      </c>
      <c r="B40" t="s">
        <v>11</v>
      </c>
      <c r="C40" s="8">
        <v>0.65</v>
      </c>
      <c r="D40" s="1">
        <v>44562</v>
      </c>
    </row>
    <row r="41" spans="1:4" x14ac:dyDescent="0.3">
      <c r="A41" t="s">
        <v>4</v>
      </c>
      <c r="B41" t="s">
        <v>11</v>
      </c>
      <c r="C41" s="8">
        <v>0.75</v>
      </c>
      <c r="D41" s="1">
        <v>44593</v>
      </c>
    </row>
    <row r="42" spans="1:4" x14ac:dyDescent="0.3">
      <c r="A42" t="s">
        <v>5</v>
      </c>
      <c r="B42" t="s">
        <v>11</v>
      </c>
      <c r="C42" s="8">
        <v>0.85</v>
      </c>
      <c r="D42" s="1">
        <v>44593</v>
      </c>
    </row>
    <row r="43" spans="1:4" x14ac:dyDescent="0.3">
      <c r="A43" t="s">
        <v>6</v>
      </c>
      <c r="B43" t="s">
        <v>11</v>
      </c>
      <c r="C43" s="8">
        <v>0.69</v>
      </c>
      <c r="D43" s="1">
        <v>44593</v>
      </c>
    </row>
    <row r="44" spans="1:4" x14ac:dyDescent="0.3">
      <c r="A44" t="s">
        <v>4</v>
      </c>
      <c r="B44" t="s">
        <v>11</v>
      </c>
      <c r="C44" s="8">
        <v>0.85</v>
      </c>
      <c r="D44" s="1">
        <v>44621</v>
      </c>
    </row>
    <row r="45" spans="1:4" x14ac:dyDescent="0.3">
      <c r="A45" t="s">
        <v>5</v>
      </c>
      <c r="B45" t="s">
        <v>11</v>
      </c>
      <c r="C45" s="8">
        <v>0.85</v>
      </c>
      <c r="D45" s="1">
        <v>44621</v>
      </c>
    </row>
    <row r="46" spans="1:4" x14ac:dyDescent="0.3">
      <c r="A46" t="s">
        <v>6</v>
      </c>
      <c r="B46" t="s">
        <v>11</v>
      </c>
      <c r="C46" s="8">
        <v>0.74</v>
      </c>
      <c r="D46" s="1">
        <v>44621</v>
      </c>
    </row>
    <row r="47" spans="1:4" x14ac:dyDescent="0.3">
      <c r="A47" t="s">
        <v>4</v>
      </c>
      <c r="B47" t="s">
        <v>11</v>
      </c>
      <c r="C47" s="8">
        <v>1</v>
      </c>
      <c r="D47" s="1">
        <v>44652</v>
      </c>
    </row>
    <row r="48" spans="1:4" x14ac:dyDescent="0.3">
      <c r="A48" t="s">
        <v>5</v>
      </c>
      <c r="B48" t="s">
        <v>11</v>
      </c>
      <c r="C48" s="8">
        <v>0.85</v>
      </c>
      <c r="D48" s="1">
        <v>44652</v>
      </c>
    </row>
    <row r="49" spans="1:4" x14ac:dyDescent="0.3">
      <c r="A49" t="s">
        <v>6</v>
      </c>
      <c r="B49" t="s">
        <v>11</v>
      </c>
      <c r="C49" s="8">
        <v>0.79</v>
      </c>
      <c r="D49" s="1">
        <v>44652</v>
      </c>
    </row>
    <row r="50" spans="1:4" x14ac:dyDescent="0.3">
      <c r="A50" t="s">
        <v>4</v>
      </c>
      <c r="B50" t="s">
        <v>8</v>
      </c>
      <c r="C50" s="8">
        <v>2</v>
      </c>
      <c r="D50" s="1">
        <v>44562</v>
      </c>
    </row>
    <row r="51" spans="1:4" x14ac:dyDescent="0.3">
      <c r="A51" t="s">
        <v>5</v>
      </c>
      <c r="B51" t="s">
        <v>8</v>
      </c>
      <c r="C51" s="8">
        <v>2.2999999999999998</v>
      </c>
      <c r="D51" s="1">
        <v>44562</v>
      </c>
    </row>
    <row r="52" spans="1:4" x14ac:dyDescent="0.3">
      <c r="A52" t="s">
        <v>6</v>
      </c>
      <c r="B52" t="s">
        <v>8</v>
      </c>
      <c r="C52" s="8">
        <v>2.2000000000000002</v>
      </c>
      <c r="D52" s="1">
        <v>44562</v>
      </c>
    </row>
    <row r="53" spans="1:4" x14ac:dyDescent="0.3">
      <c r="A53" t="s">
        <v>4</v>
      </c>
      <c r="B53" t="s">
        <v>8</v>
      </c>
      <c r="C53" s="8">
        <v>2.1</v>
      </c>
      <c r="D53" s="1">
        <v>44593</v>
      </c>
    </row>
    <row r="54" spans="1:4" x14ac:dyDescent="0.3">
      <c r="A54" t="s">
        <v>5</v>
      </c>
      <c r="B54" t="s">
        <v>8</v>
      </c>
      <c r="C54" s="8">
        <v>2.4</v>
      </c>
      <c r="D54" s="1">
        <v>44593</v>
      </c>
    </row>
    <row r="55" spans="1:4" x14ac:dyDescent="0.3">
      <c r="A55" t="s">
        <v>6</v>
      </c>
      <c r="B55" t="s">
        <v>8</v>
      </c>
      <c r="C55" s="8">
        <v>2.4500000000000002</v>
      </c>
      <c r="D55" s="1">
        <v>44593</v>
      </c>
    </row>
    <row r="56" spans="1:4" x14ac:dyDescent="0.3">
      <c r="A56" t="s">
        <v>4</v>
      </c>
      <c r="B56" t="s">
        <v>8</v>
      </c>
      <c r="C56" s="8">
        <v>2.4</v>
      </c>
      <c r="D56" s="1">
        <v>44621</v>
      </c>
    </row>
    <row r="57" spans="1:4" x14ac:dyDescent="0.3">
      <c r="A57" t="s">
        <v>5</v>
      </c>
      <c r="B57" t="s">
        <v>8</v>
      </c>
      <c r="C57" s="8">
        <v>2.5</v>
      </c>
      <c r="D57" s="1">
        <v>44621</v>
      </c>
    </row>
    <row r="58" spans="1:4" x14ac:dyDescent="0.3">
      <c r="A58" t="s">
        <v>6</v>
      </c>
      <c r="B58" t="s">
        <v>8</v>
      </c>
      <c r="C58" s="8">
        <v>2.7</v>
      </c>
      <c r="D58" s="1">
        <v>44621</v>
      </c>
    </row>
    <row r="59" spans="1:4" x14ac:dyDescent="0.3">
      <c r="A59" t="s">
        <v>4</v>
      </c>
      <c r="B59" t="s">
        <v>8</v>
      </c>
      <c r="C59" s="8">
        <v>2.9</v>
      </c>
      <c r="D59" s="1">
        <v>44652</v>
      </c>
    </row>
    <row r="60" spans="1:4" x14ac:dyDescent="0.3">
      <c r="A60" t="s">
        <v>5</v>
      </c>
      <c r="B60" t="s">
        <v>8</v>
      </c>
      <c r="C60" s="8">
        <v>2.7</v>
      </c>
      <c r="D60" s="1">
        <v>44652</v>
      </c>
    </row>
    <row r="61" spans="1:4" x14ac:dyDescent="0.3">
      <c r="A61" t="s">
        <v>6</v>
      </c>
      <c r="B61" t="s">
        <v>8</v>
      </c>
      <c r="C61" s="8">
        <v>3</v>
      </c>
      <c r="D61" s="1">
        <v>44652</v>
      </c>
    </row>
    <row r="62" spans="1:4" x14ac:dyDescent="0.3">
      <c r="A62" t="s">
        <v>4</v>
      </c>
      <c r="B62" t="s">
        <v>12</v>
      </c>
      <c r="C62" s="8">
        <v>14</v>
      </c>
      <c r="D62" s="1">
        <v>44562</v>
      </c>
    </row>
    <row r="63" spans="1:4" x14ac:dyDescent="0.3">
      <c r="A63" t="s">
        <v>5</v>
      </c>
      <c r="B63" t="s">
        <v>12</v>
      </c>
      <c r="C63" s="8">
        <v>13.5</v>
      </c>
      <c r="D63" s="1">
        <v>44562</v>
      </c>
    </row>
    <row r="64" spans="1:4" x14ac:dyDescent="0.3">
      <c r="A64" t="s">
        <v>6</v>
      </c>
      <c r="B64" t="s">
        <v>12</v>
      </c>
      <c r="C64" s="8">
        <v>15</v>
      </c>
      <c r="D64" s="1">
        <v>44562</v>
      </c>
    </row>
    <row r="65" spans="1:4" x14ac:dyDescent="0.3">
      <c r="A65" t="s">
        <v>4</v>
      </c>
      <c r="B65" t="s">
        <v>12</v>
      </c>
      <c r="C65" s="8">
        <v>14.5</v>
      </c>
      <c r="D65" s="1">
        <v>44564</v>
      </c>
    </row>
    <row r="66" spans="1:4" x14ac:dyDescent="0.3">
      <c r="A66" t="s">
        <v>5</v>
      </c>
      <c r="B66" t="s">
        <v>12</v>
      </c>
      <c r="C66" s="8">
        <v>14</v>
      </c>
      <c r="D66" s="1">
        <v>44564</v>
      </c>
    </row>
    <row r="67" spans="1:4" x14ac:dyDescent="0.3">
      <c r="A67" t="s">
        <v>6</v>
      </c>
      <c r="B67" t="s">
        <v>12</v>
      </c>
      <c r="C67" s="8">
        <v>15.25</v>
      </c>
      <c r="D67" s="1">
        <v>44564</v>
      </c>
    </row>
    <row r="68" spans="1:4" x14ac:dyDescent="0.3">
      <c r="A68" t="s">
        <v>4</v>
      </c>
      <c r="B68" t="s">
        <v>13</v>
      </c>
      <c r="C68" s="8">
        <v>10</v>
      </c>
      <c r="D68" s="1">
        <v>44562</v>
      </c>
    </row>
    <row r="69" spans="1:4" x14ac:dyDescent="0.3">
      <c r="A69" t="s">
        <v>5</v>
      </c>
      <c r="B69" t="s">
        <v>13</v>
      </c>
      <c r="C69" s="8">
        <v>13</v>
      </c>
      <c r="D69" s="1">
        <v>44562</v>
      </c>
    </row>
    <row r="70" spans="1:4" x14ac:dyDescent="0.3">
      <c r="A70" t="s">
        <v>6</v>
      </c>
      <c r="B70" t="s">
        <v>13</v>
      </c>
      <c r="C70" s="8">
        <v>12.5</v>
      </c>
      <c r="D70" s="1">
        <v>44562</v>
      </c>
    </row>
    <row r="71" spans="1:4" x14ac:dyDescent="0.3">
      <c r="A71" t="s">
        <v>4</v>
      </c>
      <c r="B71" t="s">
        <v>13</v>
      </c>
      <c r="C71" s="8">
        <v>11</v>
      </c>
      <c r="D71" s="1">
        <v>44564</v>
      </c>
    </row>
    <row r="72" spans="1:4" x14ac:dyDescent="0.3">
      <c r="A72" t="s">
        <v>5</v>
      </c>
      <c r="B72" t="s">
        <v>13</v>
      </c>
      <c r="C72" s="8">
        <v>13</v>
      </c>
      <c r="D72" s="1">
        <v>44564</v>
      </c>
    </row>
    <row r="73" spans="1:4" x14ac:dyDescent="0.3">
      <c r="A73" t="s">
        <v>6</v>
      </c>
      <c r="B73" t="s">
        <v>13</v>
      </c>
      <c r="C73" s="8">
        <v>12.75</v>
      </c>
      <c r="D73" s="1">
        <v>44564</v>
      </c>
    </row>
    <row r="74" spans="1:4" x14ac:dyDescent="0.3">
      <c r="A74" t="s">
        <v>4</v>
      </c>
      <c r="B74" t="s">
        <v>14</v>
      </c>
      <c r="C74" s="8">
        <v>5</v>
      </c>
      <c r="D74" s="1">
        <v>44562</v>
      </c>
    </row>
    <row r="75" spans="1:4" x14ac:dyDescent="0.3">
      <c r="A75" t="s">
        <v>5</v>
      </c>
      <c r="B75" t="s">
        <v>14</v>
      </c>
      <c r="C75" s="8">
        <v>5</v>
      </c>
      <c r="D75" s="1">
        <v>44562</v>
      </c>
    </row>
    <row r="76" spans="1:4" x14ac:dyDescent="0.3">
      <c r="A76" t="s">
        <v>6</v>
      </c>
      <c r="B76" t="s">
        <v>14</v>
      </c>
      <c r="C76" s="8">
        <v>6</v>
      </c>
      <c r="D76" s="1">
        <v>44562</v>
      </c>
    </row>
    <row r="77" spans="1:4" x14ac:dyDescent="0.3">
      <c r="A77" t="s">
        <v>4</v>
      </c>
      <c r="B77" t="s">
        <v>14</v>
      </c>
      <c r="C77" s="8">
        <v>5.5</v>
      </c>
      <c r="D77" s="1">
        <v>44564</v>
      </c>
    </row>
    <row r="78" spans="1:4" x14ac:dyDescent="0.3">
      <c r="A78" t="s">
        <v>5</v>
      </c>
      <c r="B78" t="s">
        <v>14</v>
      </c>
      <c r="C78" s="8">
        <v>5.25</v>
      </c>
      <c r="D78" s="1">
        <v>44564</v>
      </c>
    </row>
    <row r="79" spans="1:4" x14ac:dyDescent="0.3">
      <c r="A79" t="s">
        <v>6</v>
      </c>
      <c r="B79" t="s">
        <v>14</v>
      </c>
      <c r="C79" s="8">
        <v>6.25</v>
      </c>
      <c r="D79" s="1">
        <v>44564</v>
      </c>
    </row>
    <row r="80" spans="1:4" x14ac:dyDescent="0.3">
      <c r="A80" t="s">
        <v>4</v>
      </c>
      <c r="B80" t="s">
        <v>15</v>
      </c>
      <c r="C80" s="8">
        <v>39</v>
      </c>
      <c r="D80" s="1">
        <v>44562</v>
      </c>
    </row>
    <row r="81" spans="1:4" x14ac:dyDescent="0.3">
      <c r="A81" t="s">
        <v>5</v>
      </c>
      <c r="B81" t="s">
        <v>15</v>
      </c>
      <c r="C81" s="8">
        <v>29</v>
      </c>
      <c r="D81" s="1">
        <v>44562</v>
      </c>
    </row>
    <row r="82" spans="1:4" x14ac:dyDescent="0.3">
      <c r="A82" t="s">
        <v>6</v>
      </c>
      <c r="B82" t="s">
        <v>15</v>
      </c>
      <c r="C82" s="8">
        <v>38</v>
      </c>
      <c r="D82" s="1">
        <v>44562</v>
      </c>
    </row>
    <row r="83" spans="1:4" x14ac:dyDescent="0.3">
      <c r="A83" t="s">
        <v>4</v>
      </c>
      <c r="B83" t="s">
        <v>15</v>
      </c>
      <c r="C83" s="8">
        <v>39</v>
      </c>
      <c r="D83" s="1">
        <v>44564</v>
      </c>
    </row>
    <row r="84" spans="1:4" x14ac:dyDescent="0.3">
      <c r="A84" t="s">
        <v>5</v>
      </c>
      <c r="B84" t="s">
        <v>15</v>
      </c>
      <c r="C84" s="8">
        <v>31</v>
      </c>
      <c r="D84" s="1">
        <v>44564</v>
      </c>
    </row>
    <row r="85" spans="1:4" x14ac:dyDescent="0.3">
      <c r="A85" t="s">
        <v>6</v>
      </c>
      <c r="B85" t="s">
        <v>15</v>
      </c>
      <c r="C85" s="8">
        <v>39</v>
      </c>
      <c r="D85" s="1">
        <v>44564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4F53-9FD0-4853-B2DF-42DEF94E7C50}">
  <dimension ref="A3:F35"/>
  <sheetViews>
    <sheetView tabSelected="1" topLeftCell="A11" workbookViewId="0">
      <selection activeCell="E26" sqref="E26:E34"/>
    </sheetView>
  </sheetViews>
  <sheetFormatPr defaultRowHeight="14.4" x14ac:dyDescent="0.3"/>
  <cols>
    <col min="1" max="1" width="20.6640625" bestFit="1" customWidth="1"/>
    <col min="2" max="2" width="15.5546875" bestFit="1" customWidth="1"/>
    <col min="3" max="5" width="8" bestFit="1" customWidth="1"/>
    <col min="6" max="7" width="10.77734375" bestFit="1" customWidth="1"/>
  </cols>
  <sheetData>
    <row r="3" spans="1:6" x14ac:dyDescent="0.3">
      <c r="A3" s="4" t="s">
        <v>18</v>
      </c>
      <c r="B3" s="4" t="s">
        <v>19</v>
      </c>
    </row>
    <row r="4" spans="1:6" x14ac:dyDescent="0.3">
      <c r="A4" s="4" t="s">
        <v>16</v>
      </c>
      <c r="B4" t="s">
        <v>20</v>
      </c>
      <c r="C4" t="s">
        <v>21</v>
      </c>
      <c r="D4" t="s">
        <v>22</v>
      </c>
      <c r="E4" t="s">
        <v>23</v>
      </c>
      <c r="F4" t="s">
        <v>17</v>
      </c>
    </row>
    <row r="5" spans="1:6" x14ac:dyDescent="0.3">
      <c r="A5" s="5" t="s">
        <v>5</v>
      </c>
      <c r="B5" s="8">
        <v>175.14</v>
      </c>
      <c r="C5" s="8">
        <v>54.72</v>
      </c>
      <c r="D5" s="8">
        <v>56.129999999999995</v>
      </c>
      <c r="E5" s="8">
        <v>57.68</v>
      </c>
      <c r="F5" s="8">
        <v>343.66999999999996</v>
      </c>
    </row>
    <row r="6" spans="1:6" x14ac:dyDescent="0.3">
      <c r="A6" s="6" t="s">
        <v>7</v>
      </c>
      <c r="B6" s="8">
        <v>4.25</v>
      </c>
      <c r="C6" s="8">
        <v>4.49</v>
      </c>
      <c r="D6" s="8">
        <v>4.8</v>
      </c>
      <c r="E6" s="8">
        <v>4.8899999999999997</v>
      </c>
      <c r="F6" s="8">
        <v>18.43</v>
      </c>
    </row>
    <row r="7" spans="1:6" x14ac:dyDescent="0.3">
      <c r="A7" s="6" t="s">
        <v>11</v>
      </c>
      <c r="B7" s="8">
        <v>0.85</v>
      </c>
      <c r="C7" s="8">
        <v>0.85</v>
      </c>
      <c r="D7" s="8">
        <v>0.85</v>
      </c>
      <c r="E7" s="8">
        <v>0.85</v>
      </c>
      <c r="F7" s="8">
        <v>3.4</v>
      </c>
    </row>
    <row r="8" spans="1:6" x14ac:dyDescent="0.3">
      <c r="A8" s="6" t="s">
        <v>10</v>
      </c>
      <c r="B8" s="8">
        <v>20.99</v>
      </c>
      <c r="C8" s="8">
        <v>22.99</v>
      </c>
      <c r="D8" s="8">
        <v>22.99</v>
      </c>
      <c r="E8" s="8">
        <v>23.99</v>
      </c>
      <c r="F8" s="8">
        <v>90.96</v>
      </c>
    </row>
    <row r="9" spans="1:6" x14ac:dyDescent="0.3">
      <c r="A9" s="6" t="s">
        <v>14</v>
      </c>
      <c r="B9" s="8">
        <v>10.25</v>
      </c>
      <c r="C9" s="8"/>
      <c r="D9" s="8"/>
      <c r="E9" s="8"/>
      <c r="F9" s="8">
        <v>10.25</v>
      </c>
    </row>
    <row r="10" spans="1:6" x14ac:dyDescent="0.3">
      <c r="A10" s="6" t="s">
        <v>13</v>
      </c>
      <c r="B10" s="8">
        <v>26</v>
      </c>
      <c r="C10" s="8"/>
      <c r="D10" s="8"/>
      <c r="E10" s="8"/>
      <c r="F10" s="8">
        <v>26</v>
      </c>
    </row>
    <row r="11" spans="1:6" x14ac:dyDescent="0.3">
      <c r="A11" s="6" t="s">
        <v>8</v>
      </c>
      <c r="B11" s="8">
        <v>2.2999999999999998</v>
      </c>
      <c r="C11" s="8">
        <v>2.4</v>
      </c>
      <c r="D11" s="8">
        <v>2.5</v>
      </c>
      <c r="E11" s="8">
        <v>2.7</v>
      </c>
      <c r="F11" s="8">
        <v>9.8999999999999986</v>
      </c>
    </row>
    <row r="12" spans="1:6" x14ac:dyDescent="0.3">
      <c r="A12" s="6" t="s">
        <v>9</v>
      </c>
      <c r="B12" s="8">
        <v>23</v>
      </c>
      <c r="C12" s="8">
        <v>23.99</v>
      </c>
      <c r="D12" s="8">
        <v>24.99</v>
      </c>
      <c r="E12" s="8">
        <v>25.25</v>
      </c>
      <c r="F12" s="8">
        <v>97.22999999999999</v>
      </c>
    </row>
    <row r="13" spans="1:6" x14ac:dyDescent="0.3">
      <c r="A13" s="6" t="s">
        <v>12</v>
      </c>
      <c r="B13" s="8">
        <v>27.5</v>
      </c>
      <c r="C13" s="8"/>
      <c r="D13" s="8"/>
      <c r="E13" s="8"/>
      <c r="F13" s="8">
        <v>27.5</v>
      </c>
    </row>
    <row r="14" spans="1:6" x14ac:dyDescent="0.3">
      <c r="A14" s="6" t="s">
        <v>15</v>
      </c>
      <c r="B14" s="8">
        <v>60</v>
      </c>
      <c r="C14" s="8"/>
      <c r="D14" s="8"/>
      <c r="E14" s="8"/>
      <c r="F14" s="8">
        <v>60</v>
      </c>
    </row>
    <row r="15" spans="1:6" x14ac:dyDescent="0.3">
      <c r="A15" s="5" t="s">
        <v>6</v>
      </c>
      <c r="B15" s="8">
        <v>199.57</v>
      </c>
      <c r="C15" s="8">
        <v>56.53</v>
      </c>
      <c r="D15" s="8">
        <v>58.39</v>
      </c>
      <c r="E15" s="8">
        <v>59.68</v>
      </c>
      <c r="F15" s="8">
        <v>374.16999999999996</v>
      </c>
    </row>
    <row r="16" spans="1:6" x14ac:dyDescent="0.3">
      <c r="A16" s="6" t="s">
        <v>7</v>
      </c>
      <c r="B16" s="8">
        <v>4.99</v>
      </c>
      <c r="C16" s="8">
        <v>5.15</v>
      </c>
      <c r="D16" s="8">
        <v>5.25</v>
      </c>
      <c r="E16" s="8">
        <v>5.35</v>
      </c>
      <c r="F16" s="8">
        <v>20.740000000000002</v>
      </c>
    </row>
    <row r="17" spans="1:6" x14ac:dyDescent="0.3">
      <c r="A17" s="6" t="s">
        <v>11</v>
      </c>
      <c r="B17" s="8">
        <v>0.65</v>
      </c>
      <c r="C17" s="8">
        <v>0.69</v>
      </c>
      <c r="D17" s="8">
        <v>0.74</v>
      </c>
      <c r="E17" s="8">
        <v>0.79</v>
      </c>
      <c r="F17" s="8">
        <v>2.87</v>
      </c>
    </row>
    <row r="18" spans="1:6" x14ac:dyDescent="0.3">
      <c r="A18" s="6" t="s">
        <v>10</v>
      </c>
      <c r="B18" s="8">
        <v>23.99</v>
      </c>
      <c r="C18" s="8">
        <v>24.99</v>
      </c>
      <c r="D18" s="8">
        <v>25.45</v>
      </c>
      <c r="E18" s="8">
        <v>25.79</v>
      </c>
      <c r="F18" s="8">
        <v>100.22</v>
      </c>
    </row>
    <row r="19" spans="1:6" x14ac:dyDescent="0.3">
      <c r="A19" s="6" t="s">
        <v>14</v>
      </c>
      <c r="B19" s="8">
        <v>12.25</v>
      </c>
      <c r="C19" s="8"/>
      <c r="D19" s="8"/>
      <c r="E19" s="8"/>
      <c r="F19" s="8">
        <v>12.25</v>
      </c>
    </row>
    <row r="20" spans="1:6" x14ac:dyDescent="0.3">
      <c r="A20" s="6" t="s">
        <v>13</v>
      </c>
      <c r="B20" s="8">
        <v>25.25</v>
      </c>
      <c r="C20" s="8"/>
      <c r="D20" s="8"/>
      <c r="E20" s="8"/>
      <c r="F20" s="8">
        <v>25.25</v>
      </c>
    </row>
    <row r="21" spans="1:6" x14ac:dyDescent="0.3">
      <c r="A21" s="6" t="s">
        <v>8</v>
      </c>
      <c r="B21" s="8">
        <v>2.2000000000000002</v>
      </c>
      <c r="C21" s="8">
        <v>2.4500000000000002</v>
      </c>
      <c r="D21" s="8">
        <v>2.7</v>
      </c>
      <c r="E21" s="8">
        <v>3</v>
      </c>
      <c r="F21" s="8">
        <v>10.350000000000001</v>
      </c>
    </row>
    <row r="22" spans="1:6" x14ac:dyDescent="0.3">
      <c r="A22" s="6" t="s">
        <v>9</v>
      </c>
      <c r="B22" s="8">
        <v>22.99</v>
      </c>
      <c r="C22" s="8">
        <v>23.25</v>
      </c>
      <c r="D22" s="8">
        <v>24.25</v>
      </c>
      <c r="E22" s="8">
        <v>24.75</v>
      </c>
      <c r="F22" s="8">
        <v>95.24</v>
      </c>
    </row>
    <row r="23" spans="1:6" x14ac:dyDescent="0.3">
      <c r="A23" s="6" t="s">
        <v>12</v>
      </c>
      <c r="B23" s="8">
        <v>30.25</v>
      </c>
      <c r="C23" s="8"/>
      <c r="D23" s="8"/>
      <c r="E23" s="8"/>
      <c r="F23" s="8">
        <v>30.25</v>
      </c>
    </row>
    <row r="24" spans="1:6" x14ac:dyDescent="0.3">
      <c r="A24" s="6" t="s">
        <v>15</v>
      </c>
      <c r="B24" s="8">
        <v>77</v>
      </c>
      <c r="C24" s="8"/>
      <c r="D24" s="8"/>
      <c r="E24" s="8"/>
      <c r="F24" s="8">
        <v>77</v>
      </c>
    </row>
    <row r="25" spans="1:6" x14ac:dyDescent="0.3">
      <c r="A25" s="5" t="s">
        <v>4</v>
      </c>
      <c r="B25" s="8">
        <v>193.64</v>
      </c>
      <c r="C25" s="8">
        <v>57.839999999999996</v>
      </c>
      <c r="D25" s="8">
        <v>59.94</v>
      </c>
      <c r="E25" s="8">
        <v>61.129999999999995</v>
      </c>
      <c r="F25" s="8">
        <v>372.54999999999995</v>
      </c>
    </row>
    <row r="26" spans="1:6" x14ac:dyDescent="0.3">
      <c r="A26" s="6" t="s">
        <v>7</v>
      </c>
      <c r="B26" s="8">
        <v>5</v>
      </c>
      <c r="C26" s="8">
        <v>5.25</v>
      </c>
      <c r="D26" s="8">
        <v>5.45</v>
      </c>
      <c r="E26" s="8">
        <v>5.75</v>
      </c>
      <c r="F26" s="8">
        <v>21.45</v>
      </c>
    </row>
    <row r="27" spans="1:6" x14ac:dyDescent="0.3">
      <c r="A27" s="6" t="s">
        <v>11</v>
      </c>
      <c r="B27" s="8">
        <v>0.65</v>
      </c>
      <c r="C27" s="8">
        <v>0.75</v>
      </c>
      <c r="D27" s="8">
        <v>0.85</v>
      </c>
      <c r="E27" s="8">
        <v>1</v>
      </c>
      <c r="F27" s="8">
        <v>3.25</v>
      </c>
    </row>
    <row r="28" spans="1:6" x14ac:dyDescent="0.3">
      <c r="A28" s="6" t="s">
        <v>10</v>
      </c>
      <c r="B28" s="8">
        <v>22.99</v>
      </c>
      <c r="C28" s="8">
        <v>23.99</v>
      </c>
      <c r="D28" s="8">
        <v>24.25</v>
      </c>
      <c r="E28" s="8">
        <v>24.49</v>
      </c>
      <c r="F28" s="8">
        <v>95.719999999999985</v>
      </c>
    </row>
    <row r="29" spans="1:6" x14ac:dyDescent="0.3">
      <c r="A29" s="6" t="s">
        <v>14</v>
      </c>
      <c r="B29" s="8">
        <v>10.5</v>
      </c>
      <c r="C29" s="8"/>
      <c r="D29" s="8"/>
      <c r="E29" s="8"/>
      <c r="F29" s="8">
        <v>10.5</v>
      </c>
    </row>
    <row r="30" spans="1:6" x14ac:dyDescent="0.3">
      <c r="A30" s="6" t="s">
        <v>13</v>
      </c>
      <c r="B30" s="8">
        <v>21</v>
      </c>
      <c r="C30" s="8"/>
      <c r="D30" s="8"/>
      <c r="E30" s="8"/>
      <c r="F30" s="8">
        <v>21</v>
      </c>
    </row>
    <row r="31" spans="1:6" x14ac:dyDescent="0.3">
      <c r="A31" s="6" t="s">
        <v>8</v>
      </c>
      <c r="B31" s="8">
        <v>2</v>
      </c>
      <c r="C31" s="8">
        <v>2.1</v>
      </c>
      <c r="D31" s="8">
        <v>2.4</v>
      </c>
      <c r="E31" s="8">
        <v>2.9</v>
      </c>
      <c r="F31" s="8">
        <v>9.4</v>
      </c>
    </row>
    <row r="32" spans="1:6" x14ac:dyDescent="0.3">
      <c r="A32" s="6" t="s">
        <v>9</v>
      </c>
      <c r="B32" s="8">
        <v>25</v>
      </c>
      <c r="C32" s="8">
        <v>25.75</v>
      </c>
      <c r="D32" s="8">
        <v>26.99</v>
      </c>
      <c r="E32" s="8">
        <v>26.99</v>
      </c>
      <c r="F32" s="8">
        <v>104.72999999999999</v>
      </c>
    </row>
    <row r="33" spans="1:6" x14ac:dyDescent="0.3">
      <c r="A33" s="6" t="s">
        <v>12</v>
      </c>
      <c r="B33" s="8">
        <v>28.5</v>
      </c>
      <c r="C33" s="8"/>
      <c r="D33" s="8"/>
      <c r="E33" s="8"/>
      <c r="F33" s="8">
        <v>28.5</v>
      </c>
    </row>
    <row r="34" spans="1:6" x14ac:dyDescent="0.3">
      <c r="A34" s="6" t="s">
        <v>15</v>
      </c>
      <c r="B34" s="8">
        <v>78</v>
      </c>
      <c r="C34" s="8"/>
      <c r="D34" s="8"/>
      <c r="E34" s="8"/>
      <c r="F34" s="8">
        <v>78</v>
      </c>
    </row>
    <row r="35" spans="1:6" x14ac:dyDescent="0.3">
      <c r="A35" s="5" t="s">
        <v>17</v>
      </c>
      <c r="B35" s="8">
        <v>568.34999999999991</v>
      </c>
      <c r="C35" s="8">
        <v>169.09</v>
      </c>
      <c r="D35" s="8">
        <v>174.46</v>
      </c>
      <c r="E35" s="8">
        <v>178.49</v>
      </c>
      <c r="F35" s="8">
        <v>1090.3900000000001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1F8C5-7249-4E0C-B8EA-EBF2F6A75CEA}">
  <dimension ref="A1:G35"/>
  <sheetViews>
    <sheetView topLeftCell="A4" workbookViewId="0">
      <selection activeCell="G25" sqref="G25"/>
    </sheetView>
  </sheetViews>
  <sheetFormatPr defaultRowHeight="14.4" x14ac:dyDescent="0.3"/>
  <cols>
    <col min="1" max="1" width="8.109375" bestFit="1" customWidth="1"/>
    <col min="2" max="2" width="18" bestFit="1" customWidth="1"/>
    <col min="3" max="6" width="8" bestFit="1" customWidth="1"/>
    <col min="7" max="7" width="10.5546875" bestFit="1" customWidth="1"/>
  </cols>
  <sheetData>
    <row r="1" spans="1:7" x14ac:dyDescent="0.3">
      <c r="A1" s="10" t="s">
        <v>24</v>
      </c>
      <c r="B1" s="9"/>
      <c r="C1" s="9"/>
      <c r="D1" s="9"/>
      <c r="E1" s="9"/>
      <c r="F1" s="9"/>
      <c r="G1" s="9"/>
    </row>
    <row r="2" spans="1:7" x14ac:dyDescent="0.3">
      <c r="A2" s="9"/>
      <c r="B2" s="9"/>
      <c r="C2" s="9"/>
      <c r="D2" s="9"/>
      <c r="E2" s="9"/>
      <c r="F2" s="9"/>
      <c r="G2" s="9"/>
    </row>
    <row r="3" spans="1:7" x14ac:dyDescent="0.3">
      <c r="A3" s="9"/>
      <c r="B3" s="9"/>
      <c r="C3" s="9"/>
      <c r="D3" s="9"/>
      <c r="E3" s="9"/>
      <c r="F3" s="9"/>
      <c r="G3" s="9"/>
    </row>
    <row r="4" spans="1:7" x14ac:dyDescent="0.3">
      <c r="A4" t="s">
        <v>25</v>
      </c>
      <c r="B4" t="s">
        <v>26</v>
      </c>
      <c r="C4" s="11">
        <v>44562</v>
      </c>
      <c r="D4" s="11">
        <v>44593</v>
      </c>
      <c r="E4" s="11">
        <v>44621</v>
      </c>
      <c r="F4" s="11">
        <v>44652</v>
      </c>
      <c r="G4" s="12" t="s">
        <v>17</v>
      </c>
    </row>
    <row r="5" spans="1:7" x14ac:dyDescent="0.3">
      <c r="A5" t="s">
        <v>5</v>
      </c>
      <c r="B5" s="6" t="s">
        <v>7</v>
      </c>
      <c r="C5" s="8">
        <v>4.25</v>
      </c>
      <c r="D5" s="8">
        <v>4.49</v>
      </c>
      <c r="E5" s="8">
        <v>4.8</v>
      </c>
      <c r="F5" s="8">
        <v>4.8899999999999997</v>
      </c>
      <c r="G5" s="13">
        <f>SUM(C5:F5)</f>
        <v>18.43</v>
      </c>
    </row>
    <row r="6" spans="1:7" x14ac:dyDescent="0.3">
      <c r="A6" t="s">
        <v>5</v>
      </c>
      <c r="B6" s="6" t="s">
        <v>11</v>
      </c>
      <c r="C6" s="8">
        <v>0.85</v>
      </c>
      <c r="D6" s="8">
        <v>0.85</v>
      </c>
      <c r="E6" s="8">
        <v>0.85</v>
      </c>
      <c r="F6" s="8">
        <v>0.85</v>
      </c>
      <c r="G6" s="13">
        <f t="shared" ref="G6:G13" si="0">SUM(C6:F6)</f>
        <v>3.4</v>
      </c>
    </row>
    <row r="7" spans="1:7" x14ac:dyDescent="0.3">
      <c r="A7" t="s">
        <v>5</v>
      </c>
      <c r="B7" s="6" t="s">
        <v>10</v>
      </c>
      <c r="C7" s="8">
        <v>20.99</v>
      </c>
      <c r="D7" s="8">
        <v>22.99</v>
      </c>
      <c r="E7" s="8">
        <v>22.99</v>
      </c>
      <c r="F7" s="8">
        <v>23.99</v>
      </c>
      <c r="G7" s="13">
        <f t="shared" si="0"/>
        <v>90.96</v>
      </c>
    </row>
    <row r="8" spans="1:7" x14ac:dyDescent="0.3">
      <c r="A8" t="s">
        <v>5</v>
      </c>
      <c r="B8" s="6" t="s">
        <v>14</v>
      </c>
      <c r="C8" s="8">
        <v>10.25</v>
      </c>
      <c r="D8" s="8"/>
      <c r="E8" s="8"/>
      <c r="F8" s="8"/>
      <c r="G8" s="13">
        <f t="shared" si="0"/>
        <v>10.25</v>
      </c>
    </row>
    <row r="9" spans="1:7" x14ac:dyDescent="0.3">
      <c r="A9" t="s">
        <v>5</v>
      </c>
      <c r="B9" s="6" t="s">
        <v>13</v>
      </c>
      <c r="C9" s="8">
        <v>26</v>
      </c>
      <c r="D9" s="8"/>
      <c r="E9" s="8"/>
      <c r="F9" s="8"/>
      <c r="G9" s="13">
        <f t="shared" si="0"/>
        <v>26</v>
      </c>
    </row>
    <row r="10" spans="1:7" x14ac:dyDescent="0.3">
      <c r="A10" t="s">
        <v>5</v>
      </c>
      <c r="B10" s="6" t="s">
        <v>8</v>
      </c>
      <c r="C10" s="8">
        <v>2.2999999999999998</v>
      </c>
      <c r="D10" s="8">
        <v>2.4</v>
      </c>
      <c r="E10" s="8">
        <v>2.5</v>
      </c>
      <c r="F10" s="8">
        <v>2.7</v>
      </c>
      <c r="G10" s="13">
        <f t="shared" si="0"/>
        <v>9.8999999999999986</v>
      </c>
    </row>
    <row r="11" spans="1:7" x14ac:dyDescent="0.3">
      <c r="A11" t="s">
        <v>5</v>
      </c>
      <c r="B11" s="6" t="s">
        <v>9</v>
      </c>
      <c r="C11" s="8">
        <v>23</v>
      </c>
      <c r="D11" s="8">
        <v>23.99</v>
      </c>
      <c r="E11" s="8">
        <v>24.99</v>
      </c>
      <c r="F11" s="8">
        <v>25.25</v>
      </c>
      <c r="G11" s="13">
        <f t="shared" si="0"/>
        <v>97.22999999999999</v>
      </c>
    </row>
    <row r="12" spans="1:7" x14ac:dyDescent="0.3">
      <c r="A12" t="s">
        <v>5</v>
      </c>
      <c r="B12" s="6" t="s">
        <v>12</v>
      </c>
      <c r="C12" s="8">
        <v>27.5</v>
      </c>
      <c r="D12" s="8"/>
      <c r="E12" s="8"/>
      <c r="F12" s="8"/>
      <c r="G12" s="13">
        <f t="shared" si="0"/>
        <v>27.5</v>
      </c>
    </row>
    <row r="13" spans="1:7" x14ac:dyDescent="0.3">
      <c r="A13" t="s">
        <v>5</v>
      </c>
      <c r="B13" s="6" t="s">
        <v>15</v>
      </c>
      <c r="C13" s="8">
        <v>60</v>
      </c>
      <c r="D13" s="8"/>
      <c r="E13" s="8"/>
      <c r="F13" s="8"/>
      <c r="G13" s="13">
        <f t="shared" si="0"/>
        <v>60</v>
      </c>
    </row>
    <row r="14" spans="1:7" x14ac:dyDescent="0.3">
      <c r="B14" s="14" t="s">
        <v>27</v>
      </c>
      <c r="C14" s="15">
        <f>SUM(C5:C13)</f>
        <v>175.14</v>
      </c>
      <c r="D14" s="15">
        <f t="shared" ref="D14:G14" si="1">SUM(D5:D13)</f>
        <v>54.72</v>
      </c>
      <c r="E14" s="15">
        <f t="shared" si="1"/>
        <v>56.129999999999995</v>
      </c>
      <c r="F14" s="15">
        <f t="shared" si="1"/>
        <v>57.68</v>
      </c>
      <c r="G14" s="16">
        <f t="shared" si="1"/>
        <v>343.66999999999996</v>
      </c>
    </row>
    <row r="15" spans="1:7" x14ac:dyDescent="0.3">
      <c r="A15" t="s">
        <v>6</v>
      </c>
      <c r="B15" s="6" t="s">
        <v>7</v>
      </c>
      <c r="C15" s="8">
        <v>4.99</v>
      </c>
      <c r="D15" s="8">
        <v>5.15</v>
      </c>
      <c r="E15" s="8">
        <v>5.25</v>
      </c>
      <c r="F15" s="8">
        <v>5.35</v>
      </c>
      <c r="G15" s="13">
        <f>SUM(C15:F15)</f>
        <v>20.740000000000002</v>
      </c>
    </row>
    <row r="16" spans="1:7" x14ac:dyDescent="0.3">
      <c r="A16" t="s">
        <v>6</v>
      </c>
      <c r="B16" s="6" t="s">
        <v>11</v>
      </c>
      <c r="C16" s="8">
        <v>0.65</v>
      </c>
      <c r="D16" s="8">
        <v>0.69</v>
      </c>
      <c r="E16" s="8">
        <v>0.74</v>
      </c>
      <c r="F16" s="8">
        <v>0.79</v>
      </c>
      <c r="G16" s="13">
        <f t="shared" ref="G16:G23" si="2">SUM(C16:F16)</f>
        <v>2.87</v>
      </c>
    </row>
    <row r="17" spans="1:7" x14ac:dyDescent="0.3">
      <c r="A17" t="s">
        <v>6</v>
      </c>
      <c r="B17" s="6" t="s">
        <v>10</v>
      </c>
      <c r="C17" s="8">
        <v>23.99</v>
      </c>
      <c r="D17" s="8">
        <v>24.99</v>
      </c>
      <c r="E17" s="8">
        <v>25.45</v>
      </c>
      <c r="F17" s="8">
        <v>25.79</v>
      </c>
      <c r="G17" s="13">
        <f t="shared" si="2"/>
        <v>100.22</v>
      </c>
    </row>
    <row r="18" spans="1:7" x14ac:dyDescent="0.3">
      <c r="A18" t="s">
        <v>6</v>
      </c>
      <c r="B18" s="6" t="s">
        <v>14</v>
      </c>
      <c r="C18" s="8">
        <v>12.25</v>
      </c>
      <c r="D18" s="8"/>
      <c r="E18" s="8"/>
      <c r="F18" s="8"/>
      <c r="G18" s="13">
        <f t="shared" si="2"/>
        <v>12.25</v>
      </c>
    </row>
    <row r="19" spans="1:7" x14ac:dyDescent="0.3">
      <c r="A19" t="s">
        <v>6</v>
      </c>
      <c r="B19" s="6" t="s">
        <v>13</v>
      </c>
      <c r="C19" s="8">
        <v>25.25</v>
      </c>
      <c r="D19" s="8"/>
      <c r="E19" s="8"/>
      <c r="F19" s="8"/>
      <c r="G19" s="13">
        <f t="shared" si="2"/>
        <v>25.25</v>
      </c>
    </row>
    <row r="20" spans="1:7" x14ac:dyDescent="0.3">
      <c r="A20" t="s">
        <v>6</v>
      </c>
      <c r="B20" s="6" t="s">
        <v>8</v>
      </c>
      <c r="C20" s="8">
        <v>2.2000000000000002</v>
      </c>
      <c r="D20" s="8">
        <v>2.4500000000000002</v>
      </c>
      <c r="E20" s="8">
        <v>2.7</v>
      </c>
      <c r="F20" s="8">
        <v>3</v>
      </c>
      <c r="G20" s="13">
        <f t="shared" si="2"/>
        <v>10.350000000000001</v>
      </c>
    </row>
    <row r="21" spans="1:7" x14ac:dyDescent="0.3">
      <c r="A21" t="s">
        <v>6</v>
      </c>
      <c r="B21" s="6" t="s">
        <v>9</v>
      </c>
      <c r="C21" s="8">
        <v>22.99</v>
      </c>
      <c r="D21" s="8">
        <v>23.25</v>
      </c>
      <c r="E21" s="8">
        <v>24.25</v>
      </c>
      <c r="F21" s="8">
        <v>24.75</v>
      </c>
      <c r="G21" s="13">
        <f t="shared" si="2"/>
        <v>95.24</v>
      </c>
    </row>
    <row r="22" spans="1:7" x14ac:dyDescent="0.3">
      <c r="A22" t="s">
        <v>6</v>
      </c>
      <c r="B22" s="6" t="s">
        <v>12</v>
      </c>
      <c r="C22" s="8">
        <v>30.25</v>
      </c>
      <c r="D22" s="8"/>
      <c r="E22" s="8"/>
      <c r="F22" s="8"/>
      <c r="G22" s="13">
        <f t="shared" si="2"/>
        <v>30.25</v>
      </c>
    </row>
    <row r="23" spans="1:7" x14ac:dyDescent="0.3">
      <c r="A23" t="s">
        <v>6</v>
      </c>
      <c r="B23" s="6" t="s">
        <v>15</v>
      </c>
      <c r="C23" s="8">
        <v>77</v>
      </c>
      <c r="D23" s="8"/>
      <c r="E23" s="8"/>
      <c r="F23" s="8"/>
      <c r="G23" s="13">
        <f t="shared" si="2"/>
        <v>77</v>
      </c>
    </row>
    <row r="24" spans="1:7" x14ac:dyDescent="0.3">
      <c r="B24" s="14" t="s">
        <v>28</v>
      </c>
      <c r="C24" s="15">
        <f>SUM(C15:C23)</f>
        <v>199.57</v>
      </c>
      <c r="D24" s="15">
        <f t="shared" ref="D24:G24" si="3">SUM(D15:D23)</f>
        <v>56.53</v>
      </c>
      <c r="E24" s="15">
        <f t="shared" si="3"/>
        <v>58.39</v>
      </c>
      <c r="F24" s="15">
        <f t="shared" si="3"/>
        <v>59.68</v>
      </c>
      <c r="G24" s="16">
        <f t="shared" si="3"/>
        <v>374.16999999999996</v>
      </c>
    </row>
    <row r="25" spans="1:7" x14ac:dyDescent="0.3">
      <c r="A25" t="s">
        <v>4</v>
      </c>
      <c r="B25" s="6" t="s">
        <v>7</v>
      </c>
      <c r="C25" s="8">
        <v>5</v>
      </c>
      <c r="D25" s="8">
        <v>5.25</v>
      </c>
      <c r="E25" s="8">
        <v>5.45</v>
      </c>
      <c r="F25" s="8">
        <v>5.75</v>
      </c>
      <c r="G25" s="13">
        <f>SUM(C25:F25)</f>
        <v>21.45</v>
      </c>
    </row>
    <row r="26" spans="1:7" x14ac:dyDescent="0.3">
      <c r="A26" t="s">
        <v>4</v>
      </c>
      <c r="B26" s="6" t="s">
        <v>11</v>
      </c>
      <c r="C26" s="8">
        <v>0.65</v>
      </c>
      <c r="D26" s="8">
        <v>0.75</v>
      </c>
      <c r="E26" s="8">
        <v>0.85</v>
      </c>
      <c r="F26" s="8">
        <v>1</v>
      </c>
      <c r="G26" s="13">
        <f t="shared" ref="G26:G33" si="4">SUM(C26:F26)</f>
        <v>3.25</v>
      </c>
    </row>
    <row r="27" spans="1:7" x14ac:dyDescent="0.3">
      <c r="A27" t="s">
        <v>4</v>
      </c>
      <c r="B27" s="6" t="s">
        <v>10</v>
      </c>
      <c r="C27" s="8">
        <v>22.99</v>
      </c>
      <c r="D27" s="8">
        <v>23.99</v>
      </c>
      <c r="E27" s="8">
        <v>24.25</v>
      </c>
      <c r="F27" s="8">
        <v>24.49</v>
      </c>
      <c r="G27" s="13">
        <f t="shared" si="4"/>
        <v>95.719999999999985</v>
      </c>
    </row>
    <row r="28" spans="1:7" x14ac:dyDescent="0.3">
      <c r="A28" t="s">
        <v>4</v>
      </c>
      <c r="B28" s="6" t="s">
        <v>14</v>
      </c>
      <c r="C28" s="8">
        <v>10.5</v>
      </c>
      <c r="D28" s="8"/>
      <c r="E28" s="8"/>
      <c r="F28" s="8"/>
      <c r="G28" s="13">
        <f t="shared" si="4"/>
        <v>10.5</v>
      </c>
    </row>
    <row r="29" spans="1:7" x14ac:dyDescent="0.3">
      <c r="A29" t="s">
        <v>4</v>
      </c>
      <c r="B29" s="6" t="s">
        <v>13</v>
      </c>
      <c r="C29" s="8">
        <v>21</v>
      </c>
      <c r="D29" s="8"/>
      <c r="E29" s="8"/>
      <c r="F29" s="8"/>
      <c r="G29" s="13">
        <f t="shared" si="4"/>
        <v>21</v>
      </c>
    </row>
    <row r="30" spans="1:7" x14ac:dyDescent="0.3">
      <c r="A30" t="s">
        <v>4</v>
      </c>
      <c r="B30" s="6" t="s">
        <v>8</v>
      </c>
      <c r="C30" s="8">
        <v>2</v>
      </c>
      <c r="D30" s="8">
        <v>2.1</v>
      </c>
      <c r="E30" s="8">
        <v>2.4</v>
      </c>
      <c r="F30" s="8">
        <v>2.9</v>
      </c>
      <c r="G30" s="13">
        <f t="shared" si="4"/>
        <v>9.4</v>
      </c>
    </row>
    <row r="31" spans="1:7" x14ac:dyDescent="0.3">
      <c r="A31" t="s">
        <v>4</v>
      </c>
      <c r="B31" s="6" t="s">
        <v>9</v>
      </c>
      <c r="C31" s="8">
        <v>25</v>
      </c>
      <c r="D31" s="8">
        <v>25.75</v>
      </c>
      <c r="E31" s="8">
        <v>26.99</v>
      </c>
      <c r="F31" s="8">
        <v>26.99</v>
      </c>
      <c r="G31" s="13">
        <f t="shared" si="4"/>
        <v>104.72999999999999</v>
      </c>
    </row>
    <row r="32" spans="1:7" x14ac:dyDescent="0.3">
      <c r="A32" t="s">
        <v>4</v>
      </c>
      <c r="B32" s="6" t="s">
        <v>12</v>
      </c>
      <c r="C32" s="8">
        <v>28.5</v>
      </c>
      <c r="D32" s="8"/>
      <c r="E32" s="8"/>
      <c r="F32" s="8"/>
      <c r="G32" s="13">
        <f t="shared" si="4"/>
        <v>28.5</v>
      </c>
    </row>
    <row r="33" spans="1:7" x14ac:dyDescent="0.3">
      <c r="A33" t="s">
        <v>4</v>
      </c>
      <c r="B33" s="6" t="s">
        <v>15</v>
      </c>
      <c r="C33" s="8">
        <v>78</v>
      </c>
      <c r="D33" s="8"/>
      <c r="E33" s="8"/>
      <c r="F33" s="8"/>
      <c r="G33" s="13">
        <f t="shared" si="4"/>
        <v>78</v>
      </c>
    </row>
    <row r="34" spans="1:7" x14ac:dyDescent="0.3">
      <c r="B34" s="14" t="s">
        <v>29</v>
      </c>
      <c r="C34" s="15">
        <f>SUM(C25:C33)</f>
        <v>193.64</v>
      </c>
      <c r="D34" s="15">
        <f t="shared" ref="D34:G34" si="5">SUM(D25:D33)</f>
        <v>57.839999999999996</v>
      </c>
      <c r="E34" s="15">
        <f t="shared" si="5"/>
        <v>59.94</v>
      </c>
      <c r="F34" s="15">
        <f t="shared" si="5"/>
        <v>61.129999999999995</v>
      </c>
      <c r="G34" s="16">
        <f t="shared" si="5"/>
        <v>372.54999999999995</v>
      </c>
    </row>
    <row r="35" spans="1:7" x14ac:dyDescent="0.3">
      <c r="B35" s="17" t="s">
        <v>17</v>
      </c>
      <c r="C35" s="18">
        <f>SUM(C14,C24,C34)</f>
        <v>568.34999999999991</v>
      </c>
      <c r="D35" s="18">
        <f t="shared" ref="D35:G35" si="6">SUM(D14,D24,D34)</f>
        <v>169.09</v>
      </c>
      <c r="E35" s="18">
        <f t="shared" si="6"/>
        <v>174.45999999999998</v>
      </c>
      <c r="F35" s="18">
        <f t="shared" si="6"/>
        <v>178.49</v>
      </c>
      <c r="G35" s="18">
        <f t="shared" si="6"/>
        <v>1090.3899999999999</v>
      </c>
    </row>
  </sheetData>
  <mergeCells count="1">
    <mergeCell ref="A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Tracker</vt:lpstr>
      <vt:lpstr>Pivot Table</vt:lpstr>
      <vt:lpstr>Purchase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OMKAR YELSANGE</cp:lastModifiedBy>
  <dcterms:created xsi:type="dcterms:W3CDTF">2022-04-22T14:13:11Z</dcterms:created>
  <dcterms:modified xsi:type="dcterms:W3CDTF">2026-06-29T17:18:27Z</dcterms:modified>
</cp:coreProperties>
</file>